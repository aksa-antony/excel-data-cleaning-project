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1" activeTab="1"/>
  </bookViews>
  <sheets>
    <sheet name="Dataset" sheetId="2" r:id="rId1"/>
    <sheet name="Cleaned_Data" sheetId="3" r:id="rId2"/>
  </sheets>
  <definedNames>
    <definedName name="_xlnm._FilterDatabase" localSheetId="1" hidden="1">Cleaned_Data!$B$1:$B$35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<sst xmlns="http://schemas.openxmlformats.org/spreadsheetml/2006/main" count="270" uniqueCount="103">
  <si>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</si>
  <si>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</si>
  <si>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</si>
  <si>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</si>
  <si>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</si>
  <si>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</si>
  <si>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</si>
  <si>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</si>
  <si>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</si>
  <si>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</si>
  <si>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</si>
  <si>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</si>
  <si>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</si>
  <si>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</si>
  <si>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</si>
  <si>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</si>
  <si>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</si>
  <si>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</si>
  <si>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</si>
  <si>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</si>
  <si>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</si>
  <si>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</si>
  <si>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</si>
  <si>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</si>
  <si>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</si>
  <si>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</si>
  <si>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</si>
  <si>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</si>
  <si>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</si>
  <si>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</si>
  <si>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</si>
  <si>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</si>
  <si>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</si>
  <si>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</si>
  <si>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</si>
  <si>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</si>
  <si>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</si>
  <si>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</si>
  <si>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</si>
  <si>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</si>
  <si>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</si>
  <si>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</si>
  <si>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</si>
  <si>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</si>
  <si>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</si>
  <si>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</si>
  <si>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</si>
  <si>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</si>
  <si>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</si>
  <si>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</si>
  <si>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</si>
  <si>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</si>
  <si>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</si>
  <si>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</si>
  <si>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</si>
  <si>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</si>
  <si>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</si>
  <si>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</si>
  <si>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</si>
  <si>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</si>
  <si>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</si>
  <si>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</si>
  <si>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</si>
  <si>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</si>
  <si>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</si>
  <si>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</si>
  <si>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</si>
  <si>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</si>
  <si>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</si>
  <si>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</si>
  <si>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</si>
  <si>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</si>
  <si>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</si>
  <si>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</si>
  <si>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</si>
  <si>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</si>
  <si>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</si>
  <si>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</si>
  <si>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</si>
  <si>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</si>
  <si>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</si>
  <si>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</si>
  <si>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</si>
  <si>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</si>
  <si>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</si>
  <si>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</si>
  <si>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</si>
  <si>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</si>
  <si>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</si>
  <si>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</si>
  <si>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</si>
  <si>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</si>
  <si>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</si>
  <si>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</si>
  <si>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</si>
  <si>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</si>
  <si>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</si>
  <si>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Cleaned_Price ($)</t>
  </si>
  <si>
    <t>Cleaned_Category</t>
  </si>
  <si>
    <t>Manufacturing Date</t>
  </si>
  <si>
    <t>Manufac_(DD/MM)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</si>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</sst>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m/d;@"/>
    <numFmt numFmtId="180" formatCode="dd\-mm"/>
  </numFmts>
  <fonts count="29">
    <font>
      <sz val="10"/>
      <color rgb="FF000000"/>
      <name val="Arial"/>
      <charset val="134"/>
      <scheme val="minor"/>
    </font>
    <font>
      <b/>
      <sz val="11"/>
      <color rgb="FF08090C"/>
      <name val="Arial"/>
      <charset val="134"/>
    </font>
    <font>
      <b/>
      <sz val="11"/>
      <color rgb="FF08090C"/>
      <name val="Arial"/>
      <charset val="134"/>
      <scheme val="minor"/>
    </font>
    <font>
      <sz val="11"/>
      <color rgb="FF000000"/>
      <name val="Arial"/>
      <charset val="134"/>
    </font>
    <font>
      <sz val="11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7" fontId="0" fillId="0" borderId="0" xfId="0" applyNumberFormat="1" applyFont="1" applyAlignment="1"/>
    <xf numFmtId="178" fontId="0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7" fontId="1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/>
    <xf numFmtId="178" fontId="2" fillId="2" borderId="2" xfId="0" applyNumberFormat="1" applyFont="1" applyFill="1" applyBorder="1" applyAlignment="1"/>
    <xf numFmtId="0" fontId="2" fillId="2" borderId="3" xfId="0" applyFont="1" applyFill="1" applyBorder="1" applyAlignment="1"/>
    <xf numFmtId="0" fontId="3" fillId="3" borderId="4" xfId="0" applyFont="1" applyFill="1" applyBorder="1"/>
    <xf numFmtId="0" fontId="3" fillId="3" borderId="5" xfId="0" applyFont="1" applyFill="1" applyBorder="1"/>
    <xf numFmtId="7" fontId="3" fillId="3" borderId="5" xfId="0" applyNumberFormat="1" applyFont="1" applyFill="1" applyBorder="1"/>
    <xf numFmtId="7" fontId="4" fillId="3" borderId="5" xfId="0" applyNumberFormat="1" applyFont="1" applyFill="1" applyBorder="1" applyAlignment="1"/>
    <xf numFmtId="0" fontId="4" fillId="3" borderId="5" xfId="0" applyFont="1" applyFill="1" applyBorder="1" applyAlignment="1"/>
    <xf numFmtId="179" fontId="4" fillId="3" borderId="5" xfId="0" applyNumberFormat="1" applyFont="1" applyFill="1" applyBorder="1" applyAlignment="1"/>
    <xf numFmtId="180" fontId="4" fillId="3" borderId="5" xfId="0" applyNumberFormat="1" applyFont="1" applyFill="1" applyBorder="1" applyAlignment="1">
      <alignment horizontal="left"/>
    </xf>
    <xf numFmtId="0" fontId="4" fillId="3" borderId="6" xfId="0" applyFont="1" applyFill="1" applyBorder="1" applyAlignment="1"/>
    <xf numFmtId="0" fontId="3" fillId="3" borderId="7" xfId="0" applyFont="1" applyFill="1" applyBorder="1"/>
    <xf numFmtId="0" fontId="3" fillId="3" borderId="8" xfId="0" applyFont="1" applyFill="1" applyBorder="1"/>
    <xf numFmtId="7" fontId="3" fillId="3" borderId="8" xfId="0" applyNumberFormat="1" applyFont="1" applyFill="1" applyBorder="1"/>
    <xf numFmtId="7" fontId="4" fillId="3" borderId="8" xfId="0" applyNumberFormat="1" applyFont="1" applyFill="1" applyBorder="1" applyAlignment="1"/>
    <xf numFmtId="0" fontId="4" fillId="3" borderId="8" xfId="0" applyFont="1" applyFill="1" applyBorder="1" applyAlignment="1"/>
    <xf numFmtId="179" fontId="4" fillId="3" borderId="8" xfId="0" applyNumberFormat="1" applyFont="1" applyFill="1" applyBorder="1" applyAlignment="1"/>
    <xf numFmtId="180" fontId="4" fillId="3" borderId="8" xfId="0" applyNumberFormat="1" applyFont="1" applyFill="1" applyBorder="1" applyAlignment="1">
      <alignment horizontal="left"/>
    </xf>
    <xf numFmtId="0" fontId="4" fillId="3" borderId="9" xfId="0" applyFont="1" applyFill="1" applyBorder="1" applyAlignment="1"/>
    <xf numFmtId="179" fontId="0" fillId="0" borderId="0" xfId="0" applyNumberFormat="1" applyFont="1" applyAlignment="1"/>
    <xf numFmtId="0" fontId="3" fillId="3" borderId="10" xfId="0" applyFont="1" applyFill="1" applyBorder="1"/>
    <xf numFmtId="0" fontId="3" fillId="3" borderId="11" xfId="0" applyFont="1" applyFill="1" applyBorder="1"/>
    <xf numFmtId="7" fontId="3" fillId="3" borderId="11" xfId="0" applyNumberFormat="1" applyFont="1" applyFill="1" applyBorder="1"/>
    <xf numFmtId="7" fontId="4" fillId="3" borderId="11" xfId="0" applyNumberFormat="1" applyFont="1" applyFill="1" applyBorder="1" applyAlignment="1"/>
    <xf numFmtId="0" fontId="4" fillId="3" borderId="11" xfId="0" applyFont="1" applyFill="1" applyBorder="1" applyAlignment="1"/>
    <xf numFmtId="179" fontId="4" fillId="3" borderId="11" xfId="0" applyNumberFormat="1" applyFont="1" applyFill="1" applyBorder="1" applyAlignment="1"/>
    <xf numFmtId="180" fontId="4" fillId="3" borderId="11" xfId="0" applyNumberFormat="1" applyFont="1" applyFill="1" applyBorder="1" applyAlignment="1">
      <alignment horizontal="left"/>
    </xf>
    <xf numFmtId="0" fontId="4" fillId="3" borderId="12" xfId="0" applyFont="1" applyFill="1" applyBorder="1" applyAlignment="1"/>
    <xf numFmtId="0" fontId="5" fillId="4" borderId="0" xfId="0" applyFont="1" applyFill="1" applyAlignment="1">
      <alignment horizontal="center"/>
    </xf>
    <xf numFmtId="0" fontId="6" fillId="0" borderId="0" xfId="0" applyFont="1"/>
    <xf numFmtId="0" fontId="6" fillId="5" borderId="0" xfId="0" applyFont="1" applyFill="1"/>
    <xf numFmtId="0" fontId="7" fillId="0" borderId="0" xfId="0" applyFont="1" applyAlignment="1"/>
    <xf numFmtId="0" fontId="6" fillId="0" borderId="0" xfId="0" applyFont="1" applyAlignment="1"/>
    <xf numFmtId="0" fontId="8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ill>
        <patternFill patternType="solid">
          <bgColor theme="4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A27_6c9784" count="7" xr9:uid="{5BFCFEA4-2713-4B07-AA8A-6146ADADC5C5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</tableStyle>
    <tableStyle name="tablestyleA84_df22a5" count="10" xr9:uid="{B40D8BC1-16D7-46C4-8E56-68564FF622DB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TotalCell" dxfId="16"/>
      <tableStyleElement type="lastTotalCell" dxfId="15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workbookViewId="0">
      <selection activeCell="G27" sqref="G27"/>
    </sheetView>
  </sheetViews>
  <sheetFormatPr defaultColWidth="12.6296296296296" defaultRowHeight="15" customHeight="1"/>
  <cols>
    <col min="1" max="6" width="12.6296296296296" customWidth="1"/>
  </cols>
  <sheetData>
    <row r="1" ht="15.75" customHeight="1" spans="1:16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ht="15.75" customHeight="1" spans="1:16">
      <c r="A2" s="35" t="s">
        <v>6</v>
      </c>
      <c r="B2" s="35" t="s">
        <v>7</v>
      </c>
      <c r="C2" s="35" t="s">
        <v>8</v>
      </c>
      <c r="D2" s="35">
        <v>1000</v>
      </c>
      <c r="E2" s="35">
        <v>30</v>
      </c>
      <c r="F2" s="35" t="s">
        <v>9</v>
      </c>
    </row>
    <row r="3" ht="15.75" customHeight="1" spans="1:16">
      <c r="A3" s="36" t="s">
        <v>10</v>
      </c>
      <c r="B3" s="36" t="s">
        <v>11</v>
      </c>
      <c r="C3" s="36" t="s">
        <v>12</v>
      </c>
      <c r="D3" s="36">
        <v>80</v>
      </c>
      <c r="E3" s="36">
        <v>15</v>
      </c>
      <c r="F3" s="36" t="s">
        <v>13</v>
      </c>
      <c r="I3" s="37"/>
      <c r="J3" s="38"/>
      <c r="K3" s="38"/>
      <c r="L3" s="38"/>
      <c r="M3" s="38"/>
      <c r="N3" s="38"/>
      <c r="O3" s="38"/>
      <c r="P3" s="38"/>
    </row>
    <row r="4" ht="15.75" customHeight="1" spans="1:16">
      <c r="A4" s="35" t="s">
        <v>14</v>
      </c>
      <c r="B4" s="35" t="s">
        <v>15</v>
      </c>
      <c r="C4" s="35" t="s">
        <v>16</v>
      </c>
      <c r="D4" s="35">
        <v>130</v>
      </c>
      <c r="E4" s="35">
        <v>40</v>
      </c>
      <c r="F4" s="35" t="s">
        <v>17</v>
      </c>
      <c r="I4" s="38"/>
      <c r="J4" s="39"/>
      <c r="K4" s="38"/>
      <c r="L4" s="38"/>
      <c r="M4" s="38"/>
      <c r="N4" s="38"/>
      <c r="O4" s="38"/>
      <c r="P4" s="38"/>
    </row>
    <row r="5" ht="15.75" customHeight="1" spans="1:16">
      <c r="A5" s="36" t="s">
        <v>18</v>
      </c>
      <c r="B5" s="36" t="s">
        <v>19</v>
      </c>
      <c r="C5" s="36" t="s">
        <v>20</v>
      </c>
      <c r="D5" s="36">
        <v>900</v>
      </c>
      <c r="E5" s="36">
        <v>25</v>
      </c>
      <c r="F5" s="36" t="s">
        <v>9</v>
      </c>
      <c r="I5" s="38"/>
      <c r="J5" s="39"/>
      <c r="K5" s="38"/>
      <c r="L5" s="38"/>
      <c r="M5" s="38"/>
      <c r="N5" s="38"/>
      <c r="O5" s="38"/>
      <c r="P5" s="38"/>
    </row>
    <row r="6" ht="15.75" customHeight="1" spans="1:16">
      <c r="A6" s="35" t="s">
        <v>21</v>
      </c>
      <c r="B6" s="35" t="s">
        <v>22</v>
      </c>
      <c r="C6" s="35" t="s">
        <v>23</v>
      </c>
      <c r="D6" s="35">
        <v>70</v>
      </c>
      <c r="E6" s="35">
        <v>20</v>
      </c>
      <c r="F6" s="35"/>
    </row>
    <row r="7" ht="15.75" customHeight="1" spans="1:16">
      <c r="A7" s="36" t="s">
        <v>24</v>
      </c>
      <c r="B7" s="36" t="s">
        <v>25</v>
      </c>
      <c r="C7" s="36" t="s">
        <v>26</v>
      </c>
      <c r="D7" s="36"/>
      <c r="E7" s="36">
        <v>45</v>
      </c>
      <c r="F7" s="36" t="s">
        <v>27</v>
      </c>
    </row>
    <row r="8" ht="15.75" customHeight="1" spans="1:16">
      <c r="A8" s="35" t="s">
        <v>28</v>
      </c>
      <c r="B8" s="35" t="s">
        <v>29</v>
      </c>
      <c r="C8" s="35" t="s">
        <v>30</v>
      </c>
      <c r="D8" s="35">
        <v>30</v>
      </c>
      <c r="E8" s="35">
        <v>5</v>
      </c>
      <c r="F8" s="35" t="s">
        <v>13</v>
      </c>
    </row>
    <row r="9" ht="15.75" customHeight="1" spans="1:16">
      <c r="A9" s="36" t="s">
        <v>31</v>
      </c>
      <c r="B9" s="36" t="s">
        <v>32</v>
      </c>
      <c r="C9" s="36" t="s">
        <v>33</v>
      </c>
      <c r="D9" s="36">
        <v>90</v>
      </c>
      <c r="E9" s="36">
        <v>35</v>
      </c>
      <c r="F9" s="36" t="s">
        <v>17</v>
      </c>
    </row>
    <row r="10" ht="15.75" customHeight="1" spans="1:16">
      <c r="A10" s="35" t="s">
        <v>34</v>
      </c>
      <c r="B10" s="35" t="s">
        <v>35</v>
      </c>
      <c r="C10" s="35" t="s">
        <v>36</v>
      </c>
      <c r="D10" s="35">
        <v>500</v>
      </c>
      <c r="E10" s="35">
        <v>50</v>
      </c>
      <c r="F10" s="35" t="s">
        <v>9</v>
      </c>
    </row>
    <row r="11" ht="15.75" customHeight="1" spans="1:16">
      <c r="A11" s="36" t="s">
        <v>37</v>
      </c>
      <c r="B11" s="36" t="s">
        <v>38</v>
      </c>
      <c r="C11" s="36" t="s">
        <v>39</v>
      </c>
      <c r="D11" s="36">
        <v>130</v>
      </c>
      <c r="E11" s="36">
        <v>10</v>
      </c>
      <c r="F11" s="36" t="s">
        <v>40</v>
      </c>
    </row>
    <row r="12" ht="15.75" customHeight="1" spans="1:16">
      <c r="A12" s="35" t="s">
        <v>41</v>
      </c>
      <c r="B12" s="35" t="s">
        <v>42</v>
      </c>
      <c r="C12" s="35" t="s">
        <v>43</v>
      </c>
      <c r="D12" s="35">
        <v>950</v>
      </c>
      <c r="E12" s="35">
        <v>25</v>
      </c>
      <c r="F12" s="35" t="s">
        <v>9</v>
      </c>
    </row>
    <row r="13" ht="15.75" customHeight="1" spans="1:16">
      <c r="A13" s="36" t="s">
        <v>44</v>
      </c>
      <c r="B13" s="36" t="s">
        <v>11</v>
      </c>
      <c r="C13" s="36" t="s">
        <v>30</v>
      </c>
      <c r="D13" s="36">
        <v>90</v>
      </c>
      <c r="E13" s="36">
        <v>40</v>
      </c>
      <c r="F13" s="36"/>
    </row>
    <row r="14" ht="15.75" customHeight="1" spans="1:16">
      <c r="A14" s="35" t="s">
        <v>45</v>
      </c>
      <c r="B14" s="35" t="s">
        <v>15</v>
      </c>
      <c r="C14" s="35" t="s">
        <v>46</v>
      </c>
      <c r="D14" s="35">
        <v>120</v>
      </c>
      <c r="E14" s="35">
        <v>35</v>
      </c>
      <c r="F14" s="35"/>
    </row>
    <row r="15" ht="15.75" customHeight="1" spans="1:16">
      <c r="A15" s="36" t="s">
        <v>47</v>
      </c>
      <c r="B15" s="36" t="s">
        <v>48</v>
      </c>
      <c r="C15" s="36" t="s">
        <v>49</v>
      </c>
      <c r="D15" s="36">
        <v>150</v>
      </c>
      <c r="E15" s="36">
        <v>15</v>
      </c>
      <c r="F15" s="36" t="s">
        <v>27</v>
      </c>
    </row>
    <row r="16" ht="15.75" customHeight="1" spans="1:16">
      <c r="A16" s="35" t="s">
        <v>50</v>
      </c>
      <c r="B16" s="35" t="s">
        <v>51</v>
      </c>
      <c r="C16" s="35" t="s">
        <v>52</v>
      </c>
      <c r="D16" s="35">
        <v>250</v>
      </c>
      <c r="E16" s="35">
        <v>20</v>
      </c>
      <c r="F16" s="35" t="s">
        <v>27</v>
      </c>
    </row>
    <row r="17" ht="15.75" customHeight="1" spans="1:6">
      <c r="A17" s="36" t="s">
        <v>53</v>
      </c>
      <c r="B17" s="36" t="s">
        <v>54</v>
      </c>
      <c r="C17" s="36" t="s">
        <v>55</v>
      </c>
      <c r="D17" s="36">
        <v>50</v>
      </c>
      <c r="E17" s="36">
        <v>35</v>
      </c>
      <c r="F17" s="36" t="s">
        <v>56</v>
      </c>
    </row>
    <row r="18" ht="15.75" customHeight="1" spans="1:6">
      <c r="A18" s="35" t="s">
        <v>57</v>
      </c>
      <c r="B18" s="35" t="s">
        <v>48</v>
      </c>
      <c r="C18" s="35" t="s">
        <v>58</v>
      </c>
      <c r="D18" s="35">
        <v>160</v>
      </c>
      <c r="E18" s="35">
        <v>15</v>
      </c>
      <c r="F18" s="35" t="s">
        <v>27</v>
      </c>
    </row>
    <row r="19" ht="15.75" customHeight="1" spans="1:6">
      <c r="A19" s="36" t="s">
        <v>59</v>
      </c>
      <c r="B19" s="36" t="s">
        <v>7</v>
      </c>
      <c r="C19" s="36" t="s">
        <v>60</v>
      </c>
      <c r="D19" s="36">
        <v>980</v>
      </c>
      <c r="E19" s="36">
        <v>10</v>
      </c>
      <c r="F19" s="36" t="s">
        <v>9</v>
      </c>
    </row>
    <row r="20" ht="15.75" customHeight="1" spans="1:6">
      <c r="A20" s="35" t="s">
        <v>61</v>
      </c>
      <c r="B20" s="35" t="s">
        <v>62</v>
      </c>
      <c r="C20" s="35" t="s">
        <v>63</v>
      </c>
      <c r="D20" s="35">
        <v>150</v>
      </c>
      <c r="E20" s="35">
        <v>15</v>
      </c>
      <c r="F20" s="35" t="s">
        <v>13</v>
      </c>
    </row>
    <row r="21" ht="15.75" customHeight="1" spans="1:6">
      <c r="A21" s="36" t="s">
        <v>64</v>
      </c>
      <c r="B21" s="36" t="s">
        <v>65</v>
      </c>
      <c r="C21" s="36" t="s">
        <v>66</v>
      </c>
      <c r="D21" s="36"/>
      <c r="E21" s="36">
        <v>10</v>
      </c>
      <c r="F21" s="36" t="s">
        <v>40</v>
      </c>
    </row>
    <row r="22" ht="15.75" customHeight="1" spans="1:6">
      <c r="A22" s="35" t="s">
        <v>67</v>
      </c>
      <c r="B22" s="35" t="s">
        <v>68</v>
      </c>
      <c r="C22" s="35" t="s">
        <v>69</v>
      </c>
      <c r="D22" s="35">
        <v>700</v>
      </c>
      <c r="E22" s="35">
        <v>50</v>
      </c>
      <c r="F22" s="35" t="s">
        <v>9</v>
      </c>
    </row>
    <row r="23" ht="15.75" customHeight="1" spans="1:6">
      <c r="A23" s="36" t="s">
        <v>70</v>
      </c>
      <c r="B23" s="36" t="s">
        <v>71</v>
      </c>
      <c r="C23" s="36" t="s">
        <v>72</v>
      </c>
      <c r="D23" s="36">
        <v>80</v>
      </c>
      <c r="E23" s="36">
        <v>20</v>
      </c>
      <c r="F23" s="36" t="s">
        <v>17</v>
      </c>
    </row>
    <row r="24" ht="15.75" customHeight="1" spans="1:6">
      <c r="A24" s="35" t="s">
        <v>73</v>
      </c>
      <c r="B24" s="35" t="s">
        <v>74</v>
      </c>
      <c r="C24" s="35" t="s">
        <v>75</v>
      </c>
      <c r="D24" s="35">
        <v>150</v>
      </c>
      <c r="E24" s="35">
        <v>30</v>
      </c>
      <c r="F24" s="35"/>
    </row>
    <row r="25" ht="15.75" customHeight="1" spans="1:6">
      <c r="A25" s="36" t="s">
        <v>53</v>
      </c>
      <c r="B25" s="36" t="s">
        <v>54</v>
      </c>
      <c r="C25" s="36" t="s">
        <v>55</v>
      </c>
      <c r="D25" s="36">
        <v>50</v>
      </c>
      <c r="E25" s="36">
        <v>35</v>
      </c>
      <c r="F25" s="36" t="s">
        <v>56</v>
      </c>
    </row>
    <row r="26" ht="15.75" customHeight="1" spans="1:6">
      <c r="A26" s="35" t="s">
        <v>76</v>
      </c>
      <c r="B26" s="35" t="s">
        <v>77</v>
      </c>
      <c r="C26" s="35" t="s">
        <v>78</v>
      </c>
      <c r="D26" s="35">
        <v>800</v>
      </c>
      <c r="E26" s="35">
        <v>45</v>
      </c>
      <c r="F26" s="35" t="s">
        <v>9</v>
      </c>
    </row>
    <row r="27" ht="15.75" customHeight="1" spans="1:6">
      <c r="A27" s="36" t="s">
        <v>79</v>
      </c>
      <c r="B27" s="36" t="s">
        <v>62</v>
      </c>
      <c r="C27" s="36" t="s">
        <v>80</v>
      </c>
      <c r="D27" s="36"/>
      <c r="E27" s="36">
        <v>25</v>
      </c>
      <c r="F27" s="36" t="s">
        <v>13</v>
      </c>
    </row>
    <row r="28" ht="15.75" customHeight="1" spans="1:6">
      <c r="A28" s="35" t="s">
        <v>81</v>
      </c>
      <c r="B28" s="35" t="s">
        <v>32</v>
      </c>
      <c r="C28" s="35" t="s">
        <v>82</v>
      </c>
      <c r="D28" s="35">
        <v>400</v>
      </c>
      <c r="E28" s="35">
        <v>40</v>
      </c>
      <c r="F28" s="35" t="s">
        <v>17</v>
      </c>
    </row>
    <row r="29" ht="15.75" customHeight="1" spans="1:6">
      <c r="A29" s="36" t="s">
        <v>50</v>
      </c>
      <c r="B29" s="36" t="s">
        <v>51</v>
      </c>
      <c r="C29" s="36" t="s">
        <v>52</v>
      </c>
      <c r="D29" s="36">
        <v>250</v>
      </c>
      <c r="E29" s="36">
        <v>20</v>
      </c>
      <c r="F29" s="36" t="s">
        <v>27</v>
      </c>
    </row>
    <row r="30" ht="15.75" customHeight="1" spans="1:6">
      <c r="A30" s="35" t="s">
        <v>83</v>
      </c>
      <c r="B30" s="35" t="s">
        <v>84</v>
      </c>
      <c r="C30" s="35" t="s">
        <v>85</v>
      </c>
      <c r="D30" s="35">
        <v>60</v>
      </c>
      <c r="E30" s="35">
        <v>30</v>
      </c>
      <c r="F30" s="35" t="s">
        <v>13</v>
      </c>
    </row>
    <row r="31" ht="15.75" customHeight="1" spans="1:6">
      <c r="A31" s="36" t="s">
        <v>86</v>
      </c>
      <c r="B31" s="36" t="s">
        <v>87</v>
      </c>
      <c r="C31" s="36" t="s">
        <v>88</v>
      </c>
      <c r="D31" s="36">
        <v>40</v>
      </c>
      <c r="E31" s="36">
        <v>10</v>
      </c>
      <c r="F31" s="36" t="s">
        <v>17</v>
      </c>
    </row>
    <row r="32" ht="15.75" customHeight="1" spans="1:6">
      <c r="A32" s="35" t="s">
        <v>89</v>
      </c>
      <c r="B32" s="35" t="s">
        <v>74</v>
      </c>
      <c r="C32" s="35" t="s">
        <v>90</v>
      </c>
      <c r="D32" s="35">
        <v>130</v>
      </c>
      <c r="E32" s="35">
        <v>5</v>
      </c>
      <c r="F32" s="35" t="s">
        <v>9</v>
      </c>
    </row>
    <row r="33" ht="15.75" customHeight="1" spans="1:6">
      <c r="A33" s="36" t="s">
        <v>91</v>
      </c>
      <c r="B33" s="36" t="s">
        <v>92</v>
      </c>
      <c r="C33" s="36" t="s">
        <v>93</v>
      </c>
      <c r="D33" s="36">
        <v>50</v>
      </c>
      <c r="E33" s="36">
        <v>50</v>
      </c>
      <c r="F33" s="36" t="s">
        <v>13</v>
      </c>
    </row>
    <row r="34" ht="15.75" customHeight="1" spans="1:6">
      <c r="A34" s="35" t="s">
        <v>41</v>
      </c>
      <c r="B34" s="35" t="s">
        <v>42</v>
      </c>
      <c r="C34" s="35" t="s">
        <v>43</v>
      </c>
      <c r="D34" s="35">
        <v>950</v>
      </c>
      <c r="E34" s="35">
        <v>25</v>
      </c>
      <c r="F34" s="35" t="s">
        <v>9</v>
      </c>
    </row>
    <row r="35" ht="15.75" customHeight="1" spans="1:6">
      <c r="A35" s="36" t="s">
        <v>94</v>
      </c>
      <c r="B35" s="36" t="s">
        <v>95</v>
      </c>
      <c r="C35" s="36" t="s">
        <v>96</v>
      </c>
      <c r="D35" s="36">
        <v>100</v>
      </c>
      <c r="E35" s="36">
        <v>20</v>
      </c>
      <c r="F35" s="36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N13" sqref="N13"/>
    </sheetView>
  </sheetViews>
  <sheetFormatPr defaultColWidth="8.88888888888889" defaultRowHeight="13.2"/>
  <cols>
    <col min="1" max="3" width="13.7777777777778" customWidth="1"/>
    <col min="4" max="4" width="13.7777777777778" style="1" customWidth="1"/>
    <col min="5" max="8" width="13.7777777777778" customWidth="1"/>
    <col min="9" max="10" width="13.7777777777778" style="2" customWidth="1"/>
    <col min="11" max="11" width="13.7777777777778" customWidth="1"/>
    <col min="12" max="12" width="25.5555555555556" customWidth="1"/>
  </cols>
  <sheetData>
    <row r="1" ht="16" customHeight="1" spans="1:14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97</v>
      </c>
      <c r="H1" s="6" t="s">
        <v>98</v>
      </c>
      <c r="I1" s="7" t="s">
        <v>99</v>
      </c>
      <c r="J1" s="7" t="s">
        <v>100</v>
      </c>
      <c r="K1" s="6" t="s">
        <v>101</v>
      </c>
      <c r="L1" s="8" t="s">
        <v>102</v>
      </c>
    </row>
    <row r="2" ht="16" customHeight="1" spans="1:14">
      <c r="A2" s="9" t="s">
        <v>6</v>
      </c>
      <c r="B2" s="10" t="s">
        <v>42</v>
      </c>
      <c r="C2" s="10" t="s">
        <v>8</v>
      </c>
      <c r="D2" s="11">
        <v>1000</v>
      </c>
      <c r="E2" s="10">
        <v>30</v>
      </c>
      <c r="F2" s="10" t="s">
        <v>9</v>
      </c>
      <c r="G2" s="12">
        <f>IF(ISBLANK(D2),MEDIAN($D$2:$D$35),D2)</f>
        <v>1000</v>
      </c>
      <c r="H2" s="13" t="str">
        <f>IF(ISBLANK(F2),"Unknown",F2)</f>
        <v>Electronics</v>
      </c>
      <c r="I2" s="14" t="str">
        <f>LEFT(A2,6)</f>
        <v>28-JAN</v>
      </c>
      <c r="J2" s="15">
        <v>46050</v>
      </c>
      <c r="K2" s="13" t="str">
        <f>RIGHT(A2,2)</f>
        <v>US</v>
      </c>
      <c r="L2" s="16" t="str" cm="1">
        <f t="array" ref="L2:L32">CONCATENATE(B2:B32," ",C2:C32)</f>
        <v>Laptop Dell</v>
      </c>
    </row>
    <row r="3" ht="16" customHeight="1" spans="1:14">
      <c r="A3" s="17" t="s">
        <v>10</v>
      </c>
      <c r="B3" s="18" t="s">
        <v>11</v>
      </c>
      <c r="C3" s="18" t="s">
        <v>12</v>
      </c>
      <c r="D3" s="19">
        <v>80</v>
      </c>
      <c r="E3" s="18">
        <v>15</v>
      </c>
      <c r="F3" s="18" t="s">
        <v>13</v>
      </c>
      <c r="G3" s="20">
        <f t="shared" ref="G3:G32" si="0">IF(ISBLANK(D3),MEDIAN($D$2:$D$35),D3)</f>
        <v>80</v>
      </c>
      <c r="H3" s="21" t="str">
        <f t="shared" ref="H3:H35" si="1">IF(ISBLANK(F3),"Unknown",F3)</f>
        <v>Fashion</v>
      </c>
      <c r="I3" s="22" t="str">
        <f t="shared" ref="I3:I32" si="2">LEFT(A3,6)</f>
        <v>15-FEB</v>
      </c>
      <c r="J3" s="23">
        <v>46068</v>
      </c>
      <c r="K3" s="21" t="str">
        <f t="shared" ref="K3:K32" si="3">RIGHT(A3,2)</f>
        <v>US</v>
      </c>
      <c r="L3" s="24" t="str">
        <v>Sneakers Nike</v>
      </c>
      <c r="N3" s="25"/>
    </row>
    <row r="4" ht="16" customHeight="1" spans="1:14">
      <c r="A4" s="17" t="s">
        <v>14</v>
      </c>
      <c r="B4" s="18" t="s">
        <v>15</v>
      </c>
      <c r="C4" s="18" t="s">
        <v>16</v>
      </c>
      <c r="D4" s="19">
        <v>130</v>
      </c>
      <c r="E4" s="18">
        <v>40</v>
      </c>
      <c r="F4" s="18" t="s">
        <v>17</v>
      </c>
      <c r="G4" s="20">
        <f t="shared" si="0"/>
        <v>130</v>
      </c>
      <c r="H4" s="21" t="str">
        <f t="shared" si="1"/>
        <v>Kitchen</v>
      </c>
      <c r="I4" s="22" t="str">
        <f t="shared" si="2"/>
        <v>03-MAR</v>
      </c>
      <c r="J4" s="23">
        <v>46084</v>
      </c>
      <c r="K4" s="21" t="str">
        <f t="shared" si="3"/>
        <v>US</v>
      </c>
      <c r="L4" s="24" t="str">
        <v>Coffee Maker Keurig</v>
      </c>
      <c r="N4" s="25"/>
    </row>
    <row r="5" ht="16" customHeight="1" spans="1:14">
      <c r="A5" s="17" t="s">
        <v>18</v>
      </c>
      <c r="B5" s="18" t="s">
        <v>77</v>
      </c>
      <c r="C5" s="18" t="s">
        <v>20</v>
      </c>
      <c r="D5" s="19">
        <v>900</v>
      </c>
      <c r="E5" s="18">
        <v>25</v>
      </c>
      <c r="F5" s="18" t="s">
        <v>9</v>
      </c>
      <c r="G5" s="20">
        <f t="shared" si="0"/>
        <v>900</v>
      </c>
      <c r="H5" s="21" t="str">
        <f t="shared" si="1"/>
        <v>Electronics</v>
      </c>
      <c r="I5" s="22" t="str">
        <f t="shared" si="2"/>
        <v>11-APR</v>
      </c>
      <c r="J5" s="23">
        <v>46123</v>
      </c>
      <c r="K5" s="21" t="str">
        <f t="shared" si="3"/>
        <v>US</v>
      </c>
      <c r="L5" s="24" t="str">
        <v>Smartphone Samsung</v>
      </c>
    </row>
    <row r="6" ht="16" customHeight="1" spans="1:14">
      <c r="A6" s="17" t="s">
        <v>21</v>
      </c>
      <c r="B6" s="18" t="s">
        <v>22</v>
      </c>
      <c r="C6" s="18" t="s">
        <v>23</v>
      </c>
      <c r="D6" s="19">
        <v>70</v>
      </c>
      <c r="E6" s="18">
        <v>20</v>
      </c>
      <c r="F6" s="18"/>
      <c r="G6" s="20">
        <f t="shared" si="0"/>
        <v>70</v>
      </c>
      <c r="H6" s="21" t="str">
        <f t="shared" si="1"/>
        <v>Unknown</v>
      </c>
      <c r="I6" s="22" t="str">
        <f t="shared" si="2"/>
        <v>22-MAY</v>
      </c>
      <c r="J6" s="23">
        <v>46164</v>
      </c>
      <c r="K6" s="21" t="str">
        <f t="shared" si="3"/>
        <v>US</v>
      </c>
      <c r="L6" s="24" t="str">
        <v>Backpack North Face</v>
      </c>
    </row>
    <row r="7" ht="16" customHeight="1" spans="1:14">
      <c r="A7" s="17" t="s">
        <v>24</v>
      </c>
      <c r="B7" s="18" t="s">
        <v>25</v>
      </c>
      <c r="C7" s="18" t="s">
        <v>26</v>
      </c>
      <c r="D7" s="19"/>
      <c r="E7" s="18">
        <v>45</v>
      </c>
      <c r="F7" s="18" t="s">
        <v>9</v>
      </c>
      <c r="G7" s="20">
        <f t="shared" si="0"/>
        <v>130</v>
      </c>
      <c r="H7" s="21" t="str">
        <f t="shared" si="1"/>
        <v>Electronics</v>
      </c>
      <c r="I7" s="22" t="str">
        <f t="shared" si="2"/>
        <v>07-JUN</v>
      </c>
      <c r="J7" s="23">
        <v>46180</v>
      </c>
      <c r="K7" s="21" t="str">
        <f t="shared" si="3"/>
        <v>UK</v>
      </c>
      <c r="L7" s="24" t="str">
        <v>Headphones Sony</v>
      </c>
    </row>
    <row r="8" ht="16" customHeight="1" spans="1:14">
      <c r="A8" s="17" t="s">
        <v>28</v>
      </c>
      <c r="B8" s="18" t="s">
        <v>29</v>
      </c>
      <c r="C8" s="18" t="s">
        <v>30</v>
      </c>
      <c r="D8" s="19">
        <v>30</v>
      </c>
      <c r="E8" s="18">
        <v>5</v>
      </c>
      <c r="F8" s="18" t="s">
        <v>13</v>
      </c>
      <c r="G8" s="20">
        <f t="shared" si="0"/>
        <v>30</v>
      </c>
      <c r="H8" s="21" t="str">
        <f t="shared" si="1"/>
        <v>Fashion</v>
      </c>
      <c r="I8" s="22" t="str">
        <f t="shared" si="2"/>
        <v>19-JUL</v>
      </c>
      <c r="J8" s="23">
        <v>46222</v>
      </c>
      <c r="K8" s="21" t="str">
        <f t="shared" si="3"/>
        <v>UK</v>
      </c>
      <c r="L8" s="24" t="str">
        <v>T-shirt Adidas</v>
      </c>
    </row>
    <row r="9" ht="16" customHeight="1" spans="1:14">
      <c r="A9" s="17" t="s">
        <v>31</v>
      </c>
      <c r="B9" s="18" t="s">
        <v>32</v>
      </c>
      <c r="C9" s="18" t="s">
        <v>33</v>
      </c>
      <c r="D9" s="19">
        <v>90</v>
      </c>
      <c r="E9" s="18">
        <v>35</v>
      </c>
      <c r="F9" s="18" t="s">
        <v>17</v>
      </c>
      <c r="G9" s="20">
        <f t="shared" si="0"/>
        <v>90</v>
      </c>
      <c r="H9" s="21" t="str">
        <f t="shared" si="1"/>
        <v>Kitchen</v>
      </c>
      <c r="I9" s="22" t="str">
        <f t="shared" si="2"/>
        <v>23-AUG</v>
      </c>
      <c r="J9" s="23">
        <v>46257</v>
      </c>
      <c r="K9" s="21" t="str">
        <f t="shared" si="3"/>
        <v>UK</v>
      </c>
      <c r="L9" s="24" t="str">
        <v>Blender Ninja</v>
      </c>
    </row>
    <row r="10" ht="16" customHeight="1" spans="1:14">
      <c r="A10" s="17" t="s">
        <v>34</v>
      </c>
      <c r="B10" s="18" t="s">
        <v>35</v>
      </c>
      <c r="C10" s="18" t="s">
        <v>36</v>
      </c>
      <c r="D10" s="19">
        <v>500</v>
      </c>
      <c r="E10" s="18">
        <v>50</v>
      </c>
      <c r="F10" s="18" t="s">
        <v>9</v>
      </c>
      <c r="G10" s="20">
        <f t="shared" si="0"/>
        <v>500</v>
      </c>
      <c r="H10" s="21" t="str">
        <f t="shared" si="1"/>
        <v>Electronics</v>
      </c>
      <c r="I10" s="22" t="str">
        <f t="shared" si="2"/>
        <v>05-SEP</v>
      </c>
      <c r="J10" s="23">
        <v>46270</v>
      </c>
      <c r="K10" s="21" t="str">
        <f t="shared" si="3"/>
        <v>UK</v>
      </c>
      <c r="L10" s="24" t="str">
        <v>Tablet Apple</v>
      </c>
    </row>
    <row r="11" ht="16" customHeight="1" spans="1:14">
      <c r="A11" s="17" t="s">
        <v>37</v>
      </c>
      <c r="B11" s="18" t="s">
        <v>38</v>
      </c>
      <c r="C11" s="18" t="s">
        <v>39</v>
      </c>
      <c r="D11" s="19">
        <v>130</v>
      </c>
      <c r="E11" s="18">
        <v>10</v>
      </c>
      <c r="F11" s="18" t="s">
        <v>40</v>
      </c>
      <c r="G11" s="20">
        <f t="shared" si="0"/>
        <v>130</v>
      </c>
      <c r="H11" s="21" t="str">
        <f t="shared" si="1"/>
        <v>Outdoor</v>
      </c>
      <c r="I11" s="22" t="str">
        <f t="shared" si="2"/>
        <v>14-OCT</v>
      </c>
      <c r="J11" s="23">
        <v>46309</v>
      </c>
      <c r="K11" s="21" t="str">
        <f t="shared" si="3"/>
        <v>UK</v>
      </c>
      <c r="L11" s="24" t="str">
        <v>Hiking Boots Timberland</v>
      </c>
    </row>
    <row r="12" ht="16" customHeight="1" spans="1:14">
      <c r="A12" s="17" t="s">
        <v>41</v>
      </c>
      <c r="B12" s="18" t="s">
        <v>42</v>
      </c>
      <c r="C12" s="18" t="s">
        <v>43</v>
      </c>
      <c r="D12" s="19">
        <v>950</v>
      </c>
      <c r="E12" s="18">
        <v>25</v>
      </c>
      <c r="F12" s="18" t="s">
        <v>9</v>
      </c>
      <c r="G12" s="20">
        <f t="shared" si="0"/>
        <v>950</v>
      </c>
      <c r="H12" s="21" t="str">
        <f t="shared" si="1"/>
        <v>Electronics</v>
      </c>
      <c r="I12" s="22" t="str">
        <f t="shared" si="2"/>
        <v>17-JUN</v>
      </c>
      <c r="J12" s="23">
        <v>46190</v>
      </c>
      <c r="K12" s="21" t="str">
        <f t="shared" si="3"/>
        <v>IN</v>
      </c>
      <c r="L12" s="24" t="str">
        <v>Laptop HP</v>
      </c>
    </row>
    <row r="13" ht="16" customHeight="1" spans="1:14">
      <c r="A13" s="17" t="s">
        <v>44</v>
      </c>
      <c r="B13" s="18" t="s">
        <v>11</v>
      </c>
      <c r="C13" s="18" t="s">
        <v>30</v>
      </c>
      <c r="D13" s="19">
        <v>90</v>
      </c>
      <c r="E13" s="18">
        <v>40</v>
      </c>
      <c r="F13" s="18"/>
      <c r="G13" s="20">
        <f t="shared" si="0"/>
        <v>90</v>
      </c>
      <c r="H13" s="21" t="str">
        <f t="shared" si="1"/>
        <v>Unknown</v>
      </c>
      <c r="I13" s="22" t="str">
        <f t="shared" si="2"/>
        <v>25-NOV</v>
      </c>
      <c r="J13" s="23">
        <v>46351</v>
      </c>
      <c r="K13" s="21" t="str">
        <f t="shared" si="3"/>
        <v>AU</v>
      </c>
      <c r="L13" s="24" t="str">
        <v>Sneakers Adidas</v>
      </c>
    </row>
    <row r="14" ht="16" customHeight="1" spans="1:14">
      <c r="A14" s="17" t="s">
        <v>45</v>
      </c>
      <c r="B14" s="18" t="s">
        <v>15</v>
      </c>
      <c r="C14" s="18" t="s">
        <v>46</v>
      </c>
      <c r="D14" s="19">
        <v>120</v>
      </c>
      <c r="E14" s="18">
        <v>35</v>
      </c>
      <c r="F14" s="18"/>
      <c r="G14" s="20">
        <f t="shared" si="0"/>
        <v>120</v>
      </c>
      <c r="H14" s="21" t="str">
        <f t="shared" si="1"/>
        <v>Unknown</v>
      </c>
      <c r="I14" s="22" t="str">
        <f t="shared" si="2"/>
        <v>08-DEC</v>
      </c>
      <c r="J14" s="23">
        <v>46364</v>
      </c>
      <c r="K14" s="21" t="str">
        <f t="shared" si="3"/>
        <v>DE</v>
      </c>
      <c r="L14" s="24" t="str">
        <v>Coffee Maker Nespresso</v>
      </c>
    </row>
    <row r="15" ht="16" customHeight="1" spans="1:14">
      <c r="A15" s="17" t="s">
        <v>47</v>
      </c>
      <c r="B15" s="18" t="s">
        <v>48</v>
      </c>
      <c r="C15" s="18" t="s">
        <v>49</v>
      </c>
      <c r="D15" s="19">
        <v>150</v>
      </c>
      <c r="E15" s="18">
        <v>15</v>
      </c>
      <c r="F15" s="18" t="s">
        <v>9</v>
      </c>
      <c r="G15" s="20">
        <f t="shared" si="0"/>
        <v>150</v>
      </c>
      <c r="H15" s="21" t="str">
        <f t="shared" si="1"/>
        <v>Electronics</v>
      </c>
      <c r="I15" s="22" t="str">
        <f t="shared" si="2"/>
        <v>18-FEB</v>
      </c>
      <c r="J15" s="23">
        <v>46071</v>
      </c>
      <c r="K15" s="21" t="str">
        <f t="shared" si="3"/>
        <v>CA</v>
      </c>
      <c r="L15" s="24" t="str">
        <v>Smartwatch Fitbit</v>
      </c>
    </row>
    <row r="16" ht="16" customHeight="1" spans="1:14">
      <c r="A16" s="17" t="s">
        <v>50</v>
      </c>
      <c r="B16" s="18" t="s">
        <v>25</v>
      </c>
      <c r="C16" s="18" t="s">
        <v>52</v>
      </c>
      <c r="D16" s="19">
        <v>250</v>
      </c>
      <c r="E16" s="18">
        <v>20</v>
      </c>
      <c r="F16" s="18" t="s">
        <v>9</v>
      </c>
      <c r="G16" s="20">
        <f t="shared" si="0"/>
        <v>250</v>
      </c>
      <c r="H16" s="21" t="str">
        <f t="shared" si="1"/>
        <v>Electronics</v>
      </c>
      <c r="I16" s="22" t="str">
        <f t="shared" si="2"/>
        <v>16-APR</v>
      </c>
      <c r="J16" s="23">
        <v>46128</v>
      </c>
      <c r="K16" s="21" t="str">
        <f t="shared" si="3"/>
        <v>ES</v>
      </c>
      <c r="L16" s="24" t="str">
        <v>Headphones Bose</v>
      </c>
    </row>
    <row r="17" ht="16" customHeight="1" spans="1:12">
      <c r="A17" s="17" t="s">
        <v>53</v>
      </c>
      <c r="B17" s="18" t="s">
        <v>54</v>
      </c>
      <c r="C17" s="18" t="s">
        <v>55</v>
      </c>
      <c r="D17" s="19">
        <v>50</v>
      </c>
      <c r="E17" s="18">
        <v>35</v>
      </c>
      <c r="F17" s="18" t="s">
        <v>56</v>
      </c>
      <c r="G17" s="20">
        <f t="shared" si="0"/>
        <v>50</v>
      </c>
      <c r="H17" s="21" t="str">
        <f t="shared" si="1"/>
        <v>Accessories</v>
      </c>
      <c r="I17" s="22" t="str">
        <f t="shared" si="2"/>
        <v>21-AUG</v>
      </c>
      <c r="J17" s="23">
        <v>46255</v>
      </c>
      <c r="K17" s="21" t="str">
        <f t="shared" si="3"/>
        <v>CA</v>
      </c>
      <c r="L17" s="24" t="str">
        <v>Laptop Bag Samsonite</v>
      </c>
    </row>
    <row r="18" ht="16" customHeight="1" spans="1:12">
      <c r="A18" s="17" t="s">
        <v>57</v>
      </c>
      <c r="B18" s="18" t="s">
        <v>48</v>
      </c>
      <c r="C18" s="18" t="s">
        <v>58</v>
      </c>
      <c r="D18" s="19">
        <v>160</v>
      </c>
      <c r="E18" s="18">
        <v>15</v>
      </c>
      <c r="F18" s="18" t="s">
        <v>9</v>
      </c>
      <c r="G18" s="20">
        <f t="shared" si="0"/>
        <v>160</v>
      </c>
      <c r="H18" s="21" t="str">
        <f t="shared" si="1"/>
        <v>Electronics</v>
      </c>
      <c r="I18" s="22" t="str">
        <f t="shared" si="2"/>
        <v>20-AUG</v>
      </c>
      <c r="J18" s="23">
        <v>46254</v>
      </c>
      <c r="K18" s="21" t="str">
        <f t="shared" si="3"/>
        <v>CN</v>
      </c>
      <c r="L18" s="24" t="str">
        <v>Smartwatch Huawei</v>
      </c>
    </row>
    <row r="19" ht="16" customHeight="1" spans="1:12">
      <c r="A19" s="17" t="s">
        <v>59</v>
      </c>
      <c r="B19" s="18" t="s">
        <v>42</v>
      </c>
      <c r="C19" s="18" t="s">
        <v>60</v>
      </c>
      <c r="D19" s="19">
        <v>980</v>
      </c>
      <c r="E19" s="18">
        <v>10</v>
      </c>
      <c r="F19" s="18" t="s">
        <v>9</v>
      </c>
      <c r="G19" s="20">
        <f t="shared" si="0"/>
        <v>980</v>
      </c>
      <c r="H19" s="21" t="str">
        <f t="shared" si="1"/>
        <v>Electronics</v>
      </c>
      <c r="I19" s="22" t="str">
        <f t="shared" si="2"/>
        <v>27-JAN</v>
      </c>
      <c r="J19" s="23">
        <v>46049</v>
      </c>
      <c r="K19" s="21" t="str">
        <f t="shared" si="3"/>
        <v>IT</v>
      </c>
      <c r="L19" s="24" t="str">
        <v>Laptop Asus</v>
      </c>
    </row>
    <row r="20" ht="16" customHeight="1" spans="1:12">
      <c r="A20" s="17" t="s">
        <v>61</v>
      </c>
      <c r="B20" s="18" t="s">
        <v>62</v>
      </c>
      <c r="C20" s="18" t="s">
        <v>63</v>
      </c>
      <c r="D20" s="19">
        <v>150</v>
      </c>
      <c r="E20" s="18">
        <v>15</v>
      </c>
      <c r="F20" s="18" t="s">
        <v>13</v>
      </c>
      <c r="G20" s="20">
        <f t="shared" si="0"/>
        <v>150</v>
      </c>
      <c r="H20" s="21" t="str">
        <f t="shared" si="1"/>
        <v>Fashion</v>
      </c>
      <c r="I20" s="22" t="str">
        <f t="shared" si="2"/>
        <v>01-MAR</v>
      </c>
      <c r="J20" s="23">
        <v>46082</v>
      </c>
      <c r="K20" s="21" t="str">
        <f t="shared" si="3"/>
        <v>UK</v>
      </c>
      <c r="L20" s="24" t="str">
        <v>Sunglasses Oakley</v>
      </c>
    </row>
    <row r="21" ht="16" customHeight="1" spans="1:12">
      <c r="A21" s="17" t="s">
        <v>64</v>
      </c>
      <c r="B21" s="18" t="s">
        <v>65</v>
      </c>
      <c r="C21" s="18" t="s">
        <v>66</v>
      </c>
      <c r="D21" s="19"/>
      <c r="E21" s="18">
        <v>10</v>
      </c>
      <c r="F21" s="18" t="s">
        <v>40</v>
      </c>
      <c r="G21" s="20">
        <f t="shared" si="0"/>
        <v>130</v>
      </c>
      <c r="H21" s="21" t="str">
        <f t="shared" si="1"/>
        <v>Outdoor</v>
      </c>
      <c r="I21" s="22" t="str">
        <f t="shared" si="2"/>
        <v>14-AUG</v>
      </c>
      <c r="J21" s="23">
        <v>46248</v>
      </c>
      <c r="K21" s="21" t="str">
        <f t="shared" si="3"/>
        <v>US</v>
      </c>
      <c r="L21" s="24" t="str">
        <v>Camping Tent Coleman</v>
      </c>
    </row>
    <row r="22" ht="16" customHeight="1" spans="1:12">
      <c r="A22" s="17" t="s">
        <v>67</v>
      </c>
      <c r="B22" s="18" t="s">
        <v>68</v>
      </c>
      <c r="C22" s="18" t="s">
        <v>69</v>
      </c>
      <c r="D22" s="19">
        <v>700</v>
      </c>
      <c r="E22" s="18">
        <v>50</v>
      </c>
      <c r="F22" s="18" t="s">
        <v>9</v>
      </c>
      <c r="G22" s="20">
        <f t="shared" si="0"/>
        <v>700</v>
      </c>
      <c r="H22" s="21" t="str">
        <f t="shared" si="1"/>
        <v>Electronics</v>
      </c>
      <c r="I22" s="22" t="str">
        <f t="shared" si="2"/>
        <v>14-MAY</v>
      </c>
      <c r="J22" s="23">
        <v>46156</v>
      </c>
      <c r="K22" s="21" t="str">
        <f t="shared" si="3"/>
        <v>RU</v>
      </c>
      <c r="L22" s="24" t="str">
        <v>Camera Nikon</v>
      </c>
    </row>
    <row r="23" ht="16" customHeight="1" spans="1:12">
      <c r="A23" s="17" t="s">
        <v>70</v>
      </c>
      <c r="B23" s="18" t="s">
        <v>71</v>
      </c>
      <c r="C23" s="18" t="s">
        <v>72</v>
      </c>
      <c r="D23" s="19">
        <v>80</v>
      </c>
      <c r="E23" s="18">
        <v>20</v>
      </c>
      <c r="F23" s="18" t="s">
        <v>17</v>
      </c>
      <c r="G23" s="20">
        <f t="shared" si="0"/>
        <v>80</v>
      </c>
      <c r="H23" s="21" t="str">
        <f t="shared" si="1"/>
        <v>Kitchen</v>
      </c>
      <c r="I23" s="22" t="str">
        <f t="shared" si="2"/>
        <v>09-JAN</v>
      </c>
      <c r="J23" s="23">
        <v>46031</v>
      </c>
      <c r="K23" s="21" t="str">
        <f t="shared" si="3"/>
        <v>CA</v>
      </c>
      <c r="L23" s="24" t="str">
        <v>Microwave Panasonic</v>
      </c>
    </row>
    <row r="24" ht="16" customHeight="1" spans="1:12">
      <c r="A24" s="17" t="s">
        <v>73</v>
      </c>
      <c r="B24" s="18" t="s">
        <v>74</v>
      </c>
      <c r="C24" s="18" t="s">
        <v>75</v>
      </c>
      <c r="D24" s="19">
        <v>150</v>
      </c>
      <c r="E24" s="18">
        <v>30</v>
      </c>
      <c r="F24" s="18"/>
      <c r="G24" s="20">
        <f t="shared" si="0"/>
        <v>150</v>
      </c>
      <c r="H24" s="21" t="str">
        <f t="shared" si="1"/>
        <v>Unknown</v>
      </c>
      <c r="I24" s="22" t="str">
        <f t="shared" si="2"/>
        <v>19-JUL</v>
      </c>
      <c r="J24" s="23">
        <v>46222</v>
      </c>
      <c r="K24" s="21" t="str">
        <f t="shared" si="3"/>
        <v>BR</v>
      </c>
      <c r="L24" s="24" t="str">
        <v>Fitness Tracker Xiaomi</v>
      </c>
    </row>
    <row r="25" ht="16" customHeight="1" spans="1:12">
      <c r="A25" s="17" t="s">
        <v>76</v>
      </c>
      <c r="B25" s="18" t="s">
        <v>77</v>
      </c>
      <c r="C25" s="18" t="s">
        <v>78</v>
      </c>
      <c r="D25" s="19">
        <v>800</v>
      </c>
      <c r="E25" s="18">
        <v>45</v>
      </c>
      <c r="F25" s="18" t="s">
        <v>9</v>
      </c>
      <c r="G25" s="20">
        <f t="shared" si="0"/>
        <v>800</v>
      </c>
      <c r="H25" s="21" t="str">
        <f t="shared" si="1"/>
        <v>Electronics</v>
      </c>
      <c r="I25" s="22" t="str">
        <f t="shared" si="2"/>
        <v>29-SEP</v>
      </c>
      <c r="J25" s="23">
        <v>46294</v>
      </c>
      <c r="K25" s="21" t="str">
        <f t="shared" si="3"/>
        <v>CA</v>
      </c>
      <c r="L25" s="24" t="str">
        <v>Smartphone Google</v>
      </c>
    </row>
    <row r="26" ht="16" customHeight="1" spans="1:12">
      <c r="A26" s="17" t="s">
        <v>79</v>
      </c>
      <c r="B26" s="18" t="s">
        <v>62</v>
      </c>
      <c r="C26" s="18" t="s">
        <v>80</v>
      </c>
      <c r="D26" s="19"/>
      <c r="E26" s="18">
        <v>25</v>
      </c>
      <c r="F26" s="18" t="s">
        <v>13</v>
      </c>
      <c r="G26" s="20">
        <f t="shared" si="0"/>
        <v>130</v>
      </c>
      <c r="H26" s="21" t="str">
        <f t="shared" si="1"/>
        <v>Fashion</v>
      </c>
      <c r="I26" s="22" t="str">
        <f t="shared" si="2"/>
        <v>03-JUN</v>
      </c>
      <c r="J26" s="23">
        <v>46176</v>
      </c>
      <c r="K26" s="21" t="str">
        <f t="shared" si="3"/>
        <v>CA</v>
      </c>
      <c r="L26" s="24" t="str">
        <v>Sunglasses Ray-Ban</v>
      </c>
    </row>
    <row r="27" ht="16" customHeight="1" spans="1:12">
      <c r="A27" s="17" t="s">
        <v>81</v>
      </c>
      <c r="B27" s="18" t="s">
        <v>32</v>
      </c>
      <c r="C27" s="18" t="s">
        <v>82</v>
      </c>
      <c r="D27" s="19">
        <v>400</v>
      </c>
      <c r="E27" s="18">
        <v>40</v>
      </c>
      <c r="F27" s="18" t="s">
        <v>17</v>
      </c>
      <c r="G27" s="20">
        <f t="shared" si="0"/>
        <v>400</v>
      </c>
      <c r="H27" s="21" t="str">
        <f t="shared" si="1"/>
        <v>Kitchen</v>
      </c>
      <c r="I27" s="22" t="str">
        <f t="shared" si="2"/>
        <v>11-JUL</v>
      </c>
      <c r="J27" s="23">
        <v>46214</v>
      </c>
      <c r="K27" s="21" t="str">
        <f t="shared" si="3"/>
        <v>CA</v>
      </c>
      <c r="L27" s="24" t="str">
        <v>Blender Vitamix</v>
      </c>
    </row>
    <row r="28" ht="16" customHeight="1" spans="1:12">
      <c r="A28" s="17" t="s">
        <v>83</v>
      </c>
      <c r="B28" s="18" t="s">
        <v>84</v>
      </c>
      <c r="C28" s="18" t="s">
        <v>85</v>
      </c>
      <c r="D28" s="19">
        <v>60</v>
      </c>
      <c r="E28" s="18">
        <v>30</v>
      </c>
      <c r="F28" s="18" t="s">
        <v>13</v>
      </c>
      <c r="G28" s="20">
        <f t="shared" si="0"/>
        <v>60</v>
      </c>
      <c r="H28" s="21" t="str">
        <f t="shared" si="1"/>
        <v>Fashion</v>
      </c>
      <c r="I28" s="22" t="str">
        <f t="shared" si="2"/>
        <v>07-MAR</v>
      </c>
      <c r="J28" s="23">
        <v>46088</v>
      </c>
      <c r="K28" s="21" t="str">
        <f t="shared" si="3"/>
        <v>CA</v>
      </c>
      <c r="L28" s="24" t="str">
        <v>Dress Zara</v>
      </c>
    </row>
    <row r="29" ht="16" customHeight="1" spans="1:12">
      <c r="A29" s="17" t="s">
        <v>86</v>
      </c>
      <c r="B29" s="18" t="s">
        <v>87</v>
      </c>
      <c r="C29" s="18" t="s">
        <v>88</v>
      </c>
      <c r="D29" s="19">
        <v>40</v>
      </c>
      <c r="E29" s="18">
        <v>10</v>
      </c>
      <c r="F29" s="18" t="s">
        <v>17</v>
      </c>
      <c r="G29" s="20">
        <f t="shared" si="0"/>
        <v>40</v>
      </c>
      <c r="H29" s="21" t="str">
        <f t="shared" si="1"/>
        <v>Kitchen</v>
      </c>
      <c r="I29" s="22" t="str">
        <f t="shared" si="2"/>
        <v>13-APR</v>
      </c>
      <c r="J29" s="23">
        <v>46125</v>
      </c>
      <c r="K29" s="21" t="str">
        <f t="shared" si="3"/>
        <v>CA</v>
      </c>
      <c r="L29" s="24" t="str">
        <v>Toaster Hamilton</v>
      </c>
    </row>
    <row r="30" ht="16" customHeight="1" spans="1:12">
      <c r="A30" s="17" t="s">
        <v>89</v>
      </c>
      <c r="B30" s="18" t="s">
        <v>74</v>
      </c>
      <c r="C30" s="18" t="s">
        <v>90</v>
      </c>
      <c r="D30" s="19">
        <v>130</v>
      </c>
      <c r="E30" s="18">
        <v>5</v>
      </c>
      <c r="F30" s="18" t="s">
        <v>9</v>
      </c>
      <c r="G30" s="20">
        <f t="shared" si="0"/>
        <v>130</v>
      </c>
      <c r="H30" s="21" t="str">
        <f t="shared" si="1"/>
        <v>Electronics</v>
      </c>
      <c r="I30" s="22" t="str">
        <f t="shared" si="2"/>
        <v>24-MAY</v>
      </c>
      <c r="J30" s="23">
        <v>46166</v>
      </c>
      <c r="K30" s="21" t="str">
        <f t="shared" si="3"/>
        <v>CA</v>
      </c>
      <c r="L30" s="24" t="str">
        <v>Fitness Tracker Garmin</v>
      </c>
    </row>
    <row r="31" ht="16" customHeight="1" spans="1:12">
      <c r="A31" s="17" t="s">
        <v>91</v>
      </c>
      <c r="B31" s="18" t="s">
        <v>92</v>
      </c>
      <c r="C31" s="18" t="s">
        <v>93</v>
      </c>
      <c r="D31" s="19">
        <v>50</v>
      </c>
      <c r="E31" s="18">
        <v>50</v>
      </c>
      <c r="F31" s="18" t="s">
        <v>13</v>
      </c>
      <c r="G31" s="20">
        <f t="shared" si="0"/>
        <v>50</v>
      </c>
      <c r="H31" s="21" t="str">
        <f t="shared" si="1"/>
        <v>Fashion</v>
      </c>
      <c r="I31" s="22" t="str">
        <f t="shared" si="2"/>
        <v>02-DEC</v>
      </c>
      <c r="J31" s="23">
        <v>46358</v>
      </c>
      <c r="K31" s="21" t="str">
        <f t="shared" si="3"/>
        <v>CA</v>
      </c>
      <c r="L31" s="24" t="str">
        <v>Jeans Levi's</v>
      </c>
    </row>
    <row r="32" ht="16" customHeight="1" spans="1:12">
      <c r="A32" s="26" t="s">
        <v>94</v>
      </c>
      <c r="B32" s="27" t="s">
        <v>95</v>
      </c>
      <c r="C32" s="27" t="s">
        <v>96</v>
      </c>
      <c r="D32" s="28">
        <v>100</v>
      </c>
      <c r="E32" s="27">
        <v>20</v>
      </c>
      <c r="F32" s="27" t="s">
        <v>56</v>
      </c>
      <c r="G32" s="29">
        <f t="shared" si="0"/>
        <v>100</v>
      </c>
      <c r="H32" s="30" t="str">
        <f t="shared" si="1"/>
        <v>Accessories</v>
      </c>
      <c r="I32" s="31" t="str">
        <f t="shared" si="2"/>
        <v>09-JUL</v>
      </c>
      <c r="J32" s="32">
        <v>46212</v>
      </c>
      <c r="K32" s="30" t="str">
        <f t="shared" si="3"/>
        <v>FR</v>
      </c>
      <c r="L32" s="33" t="str">
        <v>Watch Casio</v>
      </c>
    </row>
  </sheetData>
  <conditionalFormatting sqref="G2:G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{35d58761-9cd1-4b7f-84e8-2e12e4572cbe}</x14:id>
        </ext>
      </extLst>
    </cfRule>
  </conditionalFormatting>
  <conditionalFormatting sqref="H2:H32">
    <cfRule type="cellIs" dxfId="0" priority="1" operator="equal">
      <formula>$H$7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58761-9cd1-4b7f-84e8-2e12e4572c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2026-07-24T05:11:00Z</dcterms:created>
  <dcterms:modified xsi:type="dcterms:W3CDTF">2026-09-09T15:36:06Z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FC055AF3D360410D8E09092E750E63CD_13</vt:lpwstr>
  </property>
</Properties>
</file>